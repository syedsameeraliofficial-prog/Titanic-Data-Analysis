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owerBI (Nodebook)\"/>
    </mc:Choice>
  </mc:AlternateContent>
  <bookViews>
    <workbookView xWindow="0" yWindow="0" windowWidth="24000" windowHeight="9300"/>
  </bookViews>
  <sheets>
    <sheet name="tested" sheetId="1" r:id="rId1"/>
    <sheet name="Analysis Statement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S27" i="1" l="1"/>
  <c r="S28" i="1"/>
  <c r="R28" i="1"/>
  <c r="R27" i="1"/>
  <c r="Q28" i="1"/>
  <c r="Q27" i="1"/>
  <c r="P28" i="1"/>
  <c r="P27" i="1"/>
  <c r="T21" i="1"/>
  <c r="T20" i="1"/>
  <c r="T19" i="1"/>
  <c r="Q21" i="1"/>
  <c r="Q20" i="1"/>
  <c r="Q19" i="1"/>
  <c r="P21" i="1"/>
  <c r="P20" i="1"/>
  <c r="P19" i="1"/>
  <c r="Q16" i="1"/>
  <c r="Q15" i="1"/>
  <c r="Q14" i="1"/>
  <c r="P16" i="1"/>
  <c r="P15" i="1"/>
  <c r="P14" i="1"/>
  <c r="Q9" i="2"/>
  <c r="Q9" i="1"/>
  <c r="Q8" i="2"/>
  <c r="Q8" i="1"/>
  <c r="P9" i="2"/>
  <c r="P9" i="1"/>
  <c r="P8" i="2"/>
  <c r="P8" i="1"/>
  <c r="P4" i="2"/>
  <c r="P4" i="1"/>
</calcChain>
</file>

<file path=xl/sharedStrings.xml><?xml version="1.0" encoding="utf-8"?>
<sst xmlns="http://schemas.openxmlformats.org/spreadsheetml/2006/main" count="1521" uniqueCount="634">
  <si>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</si>
  <si>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</si>
  <si>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</si>
  <si>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</si>
  <si>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</si>
  <si>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</si>
  <si>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</si>
  <si>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</si>
  <si>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</si>
  <si>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</si>
  <si>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</si>
  <si>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</si>
  <si>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</si>
  <si>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</si>
  <si>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</si>
  <si>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</si>
  <si>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</si>
  <si>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</si>
  <si>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</si>
  <si>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</si>
  <si>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</si>
  <si>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</si>
  <si>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</si>
  <si>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</si>
  <si>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</si>
  <si>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</si>
  <si>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</si>
  <si>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</si>
  <si>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</si>
  <si>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</si>
  <si>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</si>
  <si>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</si>
  <si>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</si>
  <si>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</si>
  <si>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</si>
  <si>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</si>
  <si>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</si>
  <si>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</si>
  <si>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</si>
  <si>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</si>
  <si>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</si>
  <si>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</si>
  <si>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</si>
  <si>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</si>
  <si>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</si>
  <si>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</si>
  <si>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</si>
  <si>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</si>
  <si>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</si>
  <si>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</si>
  <si>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</si>
  <si>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</si>
  <si>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</si>
  <si>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</si>
  <si>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</si>
  <si>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</si>
  <si>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</si>
  <si>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</si>
  <si>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</si>
  <si>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</si>
  <si>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</si>
  <si>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</si>
  <si>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</si>
  <si>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</si>
  <si>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</si>
  <si>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</si>
  <si>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</si>
  <si>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</si>
  <si>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</si>
  <si>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</si>
  <si>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</si>
  <si>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</si>
  <si>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</si>
  <si>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</si>
  <si>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</si>
  <si>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</si>
  <si>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</si>
  <si>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</si>
  <si>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</si>
  <si>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</si>
  <si>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</si>
  <si>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</si>
  <si>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</si>
  <si>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</si>
  <si>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</si>
  <si>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</si>
  <si>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</si>
  <si>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</si>
  <si>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</si>
  <si>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</si>
  <si>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</si>
  <si>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</si>
  <si>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</si>
  <si>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</si>
  <si>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</si>
  <si>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</si>
  <si>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</si>
  <si>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</si>
  <si>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</si>
  <si>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</si>
  <si>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</si>
  <si>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</si>
  <si>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</si>
  <si>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</si>
  <si>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</si>
  <si>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</si>
  <si>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</si>
  <si>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</si>
  <si>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</si>
  <si>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</si>
  <si>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</si>
  <si>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</si>
  <si>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</si>
  <si>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</si>
  <si>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</si>
  <si>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</si>
  <si>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</si>
  <si>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</si>
  <si>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</si>
  <si>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</si>
  <si>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</si>
  <si>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</si>
  <si>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</si>
  <si>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</si>
  <si>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</si>
  <si>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</si>
  <si>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</si>
  <si>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</si>
  <si>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</si>
  <si>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</si>
  <si>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</si>
  <si>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</si>
  <si>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</si>
  <si>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</si>
  <si>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</si>
  <si>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</si>
  <si>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</si>
  <si>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</si>
  <si>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</si>
  <si>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</si>
  <si>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</si>
  <si>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</si>
  <si>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</si>
  <si>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</si>
  <si>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</si>
  <si>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</si>
  <si>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</si>
  <si>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</si>
  <si>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</si>
  <si>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</si>
  <si>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</si>
  <si>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</si>
  <si>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</si>
  <si>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</si>
  <si>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</si>
  <si>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</si>
  <si>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</si>
  <si>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</si>
  <si>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</si>
  <si>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</si>
  <si>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</si>
  <si>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</si>
  <si>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</si>
  <si>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</si>
  <si>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</si>
  <si>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</si>
  <si>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</si>
  <si>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</si>
  <si>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</si>
  <si>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</si>
  <si>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</si>
  <si>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</si>
  <si>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</si>
  <si>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</si>
  <si>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</si>
  <si>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</si>
  <si>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</si>
  <si>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</si>
  <si>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</si>
  <si>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</si>
  <si>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</si>
  <si>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</si>
  <si>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</si>
  <si>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</si>
  <si>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</si>
  <si>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</si>
  <si>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</si>
  <si>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</si>
  <si>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</si>
  <si>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</si>
  <si>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</si>
  <si>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</si>
  <si>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</si>
  <si>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</si>
  <si>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</si>
  <si>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</si>
  <si>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</si>
  <si>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</si>
  <si>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</si>
  <si>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</si>
  <si>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</si>
  <si>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</si>
  <si>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</si>
  <si>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</si>
  <si>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</si>
  <si>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</si>
  <si>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</si>
  <si>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</si>
  <si>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</si>
  <si>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</si>
  <si>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</si>
  <si>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</si>
  <si>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</si>
  <si>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</si>
  <si>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</si>
  <si>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</si>
  <si>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</si>
  <si>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</si>
  <si>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</si>
  <si>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</si>
  <si>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</si>
  <si>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</si>
  <si>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</si>
  <si>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</si>
  <si>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</si>
  <si>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</si>
  <si>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</si>
  <si>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</si>
  <si>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</si>
  <si>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</si>
  <si>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</si>
  <si>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</si>
  <si>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</si>
  <si>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</si>
  <si>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</si>
  <si>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</si>
  <si>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</si>
  <si>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</si>
  <si>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</si>
  <si>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</si>
  <si>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</si>
  <si>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</si>
  <si>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</si>
  <si>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</si>
  <si>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</si>
  <si>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</si>
  <si>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</si>
  <si>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</si>
  <si>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</si>
  <si>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</si>
  <si>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</si>
  <si>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</si>
  <si>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</si>
  <si>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</si>
  <si>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</si>
  <si>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</si>
  <si>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</si>
  <si>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</si>
  <si>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</si>
  <si>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</si>
  <si>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</si>
  <si>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</si>
  <si>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</si>
  <si>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</si>
  <si>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</si>
  <si>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</si>
  <si>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</si>
  <si>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</si>
  <si>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</si>
  <si>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</si>
  <si>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</si>
  <si>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</si>
  <si>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</si>
  <si>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</si>
  <si>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</si>
  <si>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</si>
  <si>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</si>
  <si>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</si>
  <si>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</si>
  <si>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</si>
  <si>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</si>
  <si>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</si>
  <si>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</si>
  <si>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</si>
  <si>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</si>
  <si>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</si>
  <si>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</si>
  <si>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</si>
  <si>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</si>
  <si>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</si>
  <si>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</si>
  <si>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</si>
  <si>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</si>
  <si>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</si>
  <si>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</si>
  <si>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</si>
  <si>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</si>
  <si>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</si>
  <si>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</si>
  <si>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</si>
  <si>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</si>
  <si>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</si>
  <si>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</si>
  <si>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</si>
  <si>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</si>
  <si>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</si>
  <si>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</si>
  <si>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</si>
  <si>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</si>
  <si>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</si>
  <si>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</si>
  <si>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</si>
  <si>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</si>
  <si>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</si>
  <si>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</si>
  <si>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</si>
  <si>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</si>
  <si>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</si>
  <si>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</si>
  <si>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</si>
  <si>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</si>
  <si>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</si>
  <si>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</si>
  <si>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</si>
  <si>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</si>
  <si>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</si>
  <si>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</si>
  <si>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</si>
  <si>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</si>
  <si>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</si>
  <si>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</si>
  <si>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</si>
  <si>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</si>
  <si>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</si>
  <si>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</si>
  <si>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</si>
  <si>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</si>
  <si>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</si>
  <si>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</si>
  <si>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</si>
  <si>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</si>
  <si>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</si>
  <si>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</si>
  <si>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</si>
  <si>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</si>
  <si>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</si>
  <si>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</si>
  <si>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</si>
  <si>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</si>
  <si>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</si>
  <si>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</si>
  <si>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</si>
  <si>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</si>
  <si>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</si>
  <si>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</si>
  <si>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</si>
  <si>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</si>
  <si>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</si>
  <si>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</si>
  <si>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</si>
  <si>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</si>
  <si>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</si>
  <si>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</si>
  <si>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</si>
  <si>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</si>
  <si>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</si>
  <si>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</si>
  <si>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</si>
  <si>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</si>
  <si>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</si>
  <si>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</si>
  <si>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</si>
  <si>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</si>
  <si>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</si>
  <si>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</si>
  <si>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</si>
  <si>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</si>
  <si>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</si>
  <si>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</si>
  <si>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</si>
  <si>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</si>
  <si>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</si>
  <si>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</si>
  <si>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</si>
  <si>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</si>
  <si>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</si>
  <si>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</si>
  <si>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</si>
  <si>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</si>
  <si>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</si>
  <si>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</si>
  <si>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</si>
  <si>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</si>
  <si>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</si>
  <si>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</si>
  <si>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</si>
  <si>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</si>
  <si>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</si>
  <si>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</si>
  <si>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</si>
  <si>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</si>
  <si>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</si>
  <si>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</si>
  <si>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</si>
  <si>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</si>
  <si>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</si>
  <si>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</si>
  <si>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</si>
  <si>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</si>
  <si>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</si>
  <si>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</si>
  <si>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</si>
  <si>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</si>
  <si>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</si>
  <si>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</si>
  <si>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</si>
  <si>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</si>
  <si>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</si>
  <si>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</si>
  <si>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</si>
  <si>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</si>
  <si>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</si>
  <si>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</si>
  <si>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</si>
  <si>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</si>
  <si>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</si>
  <si>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</si>
  <si>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</si>
  <si>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</si>
  <si>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</si>
  <si>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</si>
  <si>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</si>
  <si>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</si>
  <si>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</si>
  <si>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</si>
  <si>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</si>
  <si>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</si>
  <si>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</si>
  <si>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</si>
  <si>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</si>
  <si>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</si>
  <si>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</si>
  <si>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</si>
  <si>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</si>
  <si>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</si>
  <si>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</si>
  <si>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</si>
  <si>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</si>
  <si>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</si>
  <si>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</si>
  <si>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</si>
  <si>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</si>
  <si>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</si>
  <si>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</si>
  <si>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</si>
  <si>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</si>
  <si>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</si>
  <si>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</si>
  <si>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</si>
  <si>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</si>
  <si>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</si>
  <si>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</si>
  <si>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</si>
  <si>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</si>
  <si>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</si>
  <si>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</si>
  <si>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</si>
  <si>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</si>
  <si>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</si>
  <si>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</si>
  <si>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</si>
  <si>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</si>
  <si>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</si>
  <si>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</si>
  <si>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</si>
  <si>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</si>
  <si>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</si>
  <si>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</si>
  <si>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</si>
  <si>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</si>
  <si>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</si>
  <si>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</si>
  <si>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</si>
  <si>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</si>
  <si>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</si>
  <si>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</si>
  <si>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</si>
  <si>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</si>
  <si>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</si>
  <si>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</si>
  <si>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</si>
  <si>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</si>
  <si>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</si>
  <si>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</si>
  <si>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</si>
  <si>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</si>
  <si>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</si>
  <si>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</si>
  <si>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</si>
  <si>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</si>
  <si>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</si>
  <si>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</si>
  <si>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</si>
  <si>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</si>
  <si>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</si>
  <si>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</si>
  <si>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</si>
  <si>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</si>
  <si>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</si>
  <si>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</si>
  <si>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</si>
  <si>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</si>
  <si>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</si>
  <si>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</si>
  <si>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</si>
  <si>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</si>
  <si>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</si>
  <si>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</si>
  <si>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</si>
  <si>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</si>
  <si>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</si>
  <si>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</si>
  <si>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</si>
  <si>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</si>
  <si>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</si>
  <si>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</si>
  <si>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</si>
  <si>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</si>
  <si>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</si>
  <si>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</si>
  <si>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</si>
  <si>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</si>
  <si>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</si>
  <si>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</si>
  <si>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</si>
  <si>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</si>
  <si>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</si>
  <si>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</si>
  <si>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</si>
  <si>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</si>
  <si>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</si>
  <si>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</si>
  <si>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</si>
  <si>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</si>
  <si>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</si>
  <si>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</si>
  <si>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</si>
  <si>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</si>
  <si>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</si>
  <si>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</si>
  <si>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</si>
  <si>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</si>
  <si>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</si>
  <si>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</si>
  <si>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</si>
  <si>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</si>
  <si>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</si>
  <si>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</si>
  <si>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</si>
  <si>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</si>
  <si>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</si>
  <si>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</si>
  <si>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</si>
  <si>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</si>
  <si>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</si>
  <si>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</si>
  <si>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</si>
  <si>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</si>
  <si>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</si>
  <si>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</si>
  <si>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</si>
  <si>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</si>
  <si>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</si>
  <si>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</si>
  <si>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</si>
  <si>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</si>
  <si>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</si>
  <si>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</si>
  <si>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</si>
  <si>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</si>
  <si>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</si>
  <si>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</si>
  <si>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</si>
  <si>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</si>
  <si>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</si>
  <si>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</si>
  <si>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</si>
  <si>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</si>
  <si>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</si>
  <si>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</si>
  <si>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</si>
  <si>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</si>
  <si>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</si>
  <si>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</si>
  <si>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</si>
  <si>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</si>
  <si>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</si>
  <si>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</si>
  <si>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</si>
  <si>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</si>
  <si>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</si>
  <si>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</si>
  <si>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</si>
  <si>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</si>
  <si>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</si>
  <si>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</si>
  <si>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</si>
  <si>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</si>
  <si>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</si>
  <si>
    <t>Mehwish</t>
  </si>
  <si>
    <t>Unique Column</t>
  </si>
  <si>
    <t xml:space="preserve">Passenger Id </t>
  </si>
  <si>
    <t>Exlpain about Columns and possible Values</t>
  </si>
  <si>
    <t>Data Dict</t>
  </si>
  <si>
    <t>Target</t>
  </si>
  <si>
    <t>Passenger Survival Analysis</t>
  </si>
  <si>
    <t xml:space="preserve">Data Exploration </t>
  </si>
  <si>
    <t>Data Dictionary</t>
  </si>
  <si>
    <t>Features</t>
  </si>
  <si>
    <t>Inconsistency (type)</t>
  </si>
  <si>
    <t>Inconsistency (value)</t>
  </si>
  <si>
    <t>Data Analysis</t>
  </si>
  <si>
    <t>Missing Values (Drop , Fill)</t>
  </si>
  <si>
    <t>Duplicate Values / Records (Drop)</t>
  </si>
  <si>
    <t>Analysis</t>
  </si>
  <si>
    <t>Total Passengers</t>
  </si>
  <si>
    <t>Not Survived</t>
  </si>
  <si>
    <t>Passenger Class</t>
  </si>
  <si>
    <t>Survival Ratio of 1</t>
  </si>
  <si>
    <t>Survival Ratio of 2</t>
  </si>
  <si>
    <t>Survival Ratio of 3</t>
  </si>
  <si>
    <t>Gender</t>
  </si>
  <si>
    <t xml:space="preserve">male </t>
  </si>
  <si>
    <t>Survival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</si>
</sst>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0"/>
  <sheetViews>
    <sheetView tabSelected="1" workbookViewId="0">
      <selection activeCell="I14" sqref="I14"/>
    </sheetView>
  </sheetViews>
  <sheetFormatPr defaultRowHeight="15" x14ac:dyDescent="0.25"/>
  <cols>
    <col min="1" max="1" width="11.7109375" bestFit="1" customWidth="1"/>
    <col min="4" max="4" width="61.28515625" bestFit="1" customWidth="1"/>
    <col min="15" max="15" width="15.85546875" bestFit="1" customWidth="1"/>
    <col min="16" max="16" width="16.140625" bestFit="1" customWidth="1"/>
    <col min="17" max="17" width="24.85546875" bestFit="1" customWidth="1"/>
    <col min="18" max="18" width="12.42578125" bestFit="1" customWidth="1"/>
    <col min="19" max="19" width="16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7" x14ac:dyDescent="0.25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7" x14ac:dyDescent="0.25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  <c r="O3" t="s">
        <v>624</v>
      </c>
    </row>
    <row r="4" spans="1:17" x14ac:dyDescent="0.25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  <c r="O4" t="s">
        <v>625</v>
      </c>
      <c r="P4">
        <f>COUNT(A:A)</f>
        <v>419</v>
      </c>
    </row>
    <row r="5" spans="1:17" x14ac:dyDescent="0.25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7" x14ac:dyDescent="0.25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7" x14ac:dyDescent="0.25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  <c r="O7" t="s">
        <v>614</v>
      </c>
    </row>
    <row r="8" spans="1:17" x14ac:dyDescent="0.25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  <c r="O8" t="s">
        <v>1</v>
      </c>
      <c r="P8">
        <f>COUNTIF(B:B,1)</f>
        <v>152</v>
      </c>
      <c r="Q8" s="1">
        <f>P8/P4</f>
        <v>0.36276849642004771</v>
      </c>
    </row>
    <row r="9" spans="1:17" x14ac:dyDescent="0.25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  <c r="O9" t="s">
        <v>626</v>
      </c>
      <c r="P9">
        <f>COUNTIF(B:B,0)</f>
        <v>267</v>
      </c>
      <c r="Q9" s="1">
        <f>P9/P4</f>
        <v>0.63723150357995229</v>
      </c>
    </row>
    <row r="10" spans="1:17" x14ac:dyDescent="0.25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7" x14ac:dyDescent="0.25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7" x14ac:dyDescent="0.25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7" x14ac:dyDescent="0.25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  <c r="O13" t="s">
        <v>627</v>
      </c>
    </row>
    <row r="14" spans="1:17" x14ac:dyDescent="0.25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  <c r="O14">
        <v>1</v>
      </c>
      <c r="P14">
        <f>COUNTIF($C:$C,1)</f>
        <v>107</v>
      </c>
      <c r="Q14" s="1">
        <f>$P14/$P4</f>
        <v>0.25536992840095463</v>
      </c>
    </row>
    <row r="15" spans="1:17" x14ac:dyDescent="0.25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  <c r="O15">
        <v>2</v>
      </c>
      <c r="P15">
        <f>COUNTIF($C:$C,2)</f>
        <v>93</v>
      </c>
      <c r="Q15" s="1">
        <f>$P15/$P4</f>
        <v>0.22195704057279236</v>
      </c>
    </row>
    <row r="16" spans="1:17" x14ac:dyDescent="0.25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  <c r="O16">
        <v>3</v>
      </c>
      <c r="P16">
        <f>COUNTIF($C:$C,3)</f>
        <v>219</v>
      </c>
      <c r="Q16" s="1">
        <f>$P16/$P4</f>
        <v>0.52267303102625295</v>
      </c>
    </row>
    <row r="17" spans="1:20" x14ac:dyDescent="0.25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20" x14ac:dyDescent="0.25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  <c r="P18" t="s">
        <v>1</v>
      </c>
      <c r="Q18" t="s">
        <v>626</v>
      </c>
    </row>
    <row r="19" spans="1:20" x14ac:dyDescent="0.25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  <c r="O19">
        <v>1</v>
      </c>
      <c r="P19">
        <f>COUNTIFS($B:$B,1,$C:$C,1)</f>
        <v>50</v>
      </c>
      <c r="Q19">
        <f>COUNTIFS($B:$B,0,$C:$C,1)</f>
        <v>57</v>
      </c>
      <c r="S19" t="s">
        <v>628</v>
      </c>
      <c r="T19" s="1">
        <f>P19/P14</f>
        <v>0.46728971962616822</v>
      </c>
    </row>
    <row r="20" spans="1:20" x14ac:dyDescent="0.25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  <c r="O20">
        <v>2</v>
      </c>
      <c r="P20">
        <f>COUNTIFS($B:$B,1,$C:$C,2)</f>
        <v>30</v>
      </c>
      <c r="Q20">
        <f>COUNTIFS($B:$B,0,$C:$C,2)</f>
        <v>63</v>
      </c>
      <c r="S20" t="s">
        <v>629</v>
      </c>
      <c r="T20" s="1">
        <f>P20/P15</f>
        <v>0.32258064516129031</v>
      </c>
    </row>
    <row r="21" spans="1:20" x14ac:dyDescent="0.25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  <c r="O21">
        <v>3</v>
      </c>
      <c r="P21">
        <f>COUNTIFS($B:$B,1,$C:$C,3)</f>
        <v>72</v>
      </c>
      <c r="Q21">
        <f>COUNTIFS($B:$B,0,$C:$C,3)</f>
        <v>147</v>
      </c>
      <c r="S21" t="s">
        <v>630</v>
      </c>
      <c r="T21" s="1">
        <f>P21/P16</f>
        <v>0.32876712328767121</v>
      </c>
    </row>
    <row r="22" spans="1:20" x14ac:dyDescent="0.25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20" x14ac:dyDescent="0.25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20" x14ac:dyDescent="0.25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20" x14ac:dyDescent="0.25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20" x14ac:dyDescent="0.25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  <c r="O26" t="s">
        <v>631</v>
      </c>
      <c r="Q26" t="s">
        <v>1</v>
      </c>
      <c r="R26" t="s">
        <v>626</v>
      </c>
      <c r="S26" t="s">
        <v>633</v>
      </c>
    </row>
    <row r="27" spans="1:20" x14ac:dyDescent="0.25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  <c r="O27" t="s">
        <v>632</v>
      </c>
      <c r="P27">
        <f>COUNTIF(E:E,"male")</f>
        <v>266</v>
      </c>
      <c r="Q27">
        <f>COUNTIFS($E:$E,"male",$B:$B,1)</f>
        <v>0</v>
      </c>
      <c r="R27">
        <f>COUNTIFS($E:$E,"male",$B:$B,0)</f>
        <v>266</v>
      </c>
      <c r="S27">
        <f>Q27/P27</f>
        <v>0</v>
      </c>
    </row>
    <row r="28" spans="1:20" x14ac:dyDescent="0.25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  <c r="O28" t="s">
        <v>16</v>
      </c>
      <c r="P28">
        <f>COUNTIF(E:E,"female")</f>
        <v>153</v>
      </c>
      <c r="Q28">
        <f>COUNTIFS($E:$E,"female",$B:$B,1)</f>
        <v>152</v>
      </c>
      <c r="R28">
        <f>COUNTIFS($E:$E,"female",$B:$B,0)</f>
        <v>1</v>
      </c>
      <c r="S28" s="1">
        <f>Q28/P28</f>
        <v>0.99346405228758172</v>
      </c>
    </row>
    <row r="29" spans="1:20" x14ac:dyDescent="0.25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20" x14ac:dyDescent="0.25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20" x14ac:dyDescent="0.25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20" x14ac:dyDescent="0.25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25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25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25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25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25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25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25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25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25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25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25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25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25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25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25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25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25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25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25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25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25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25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25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25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25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25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25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25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25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25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25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25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25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25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25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25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25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25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25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25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25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25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25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25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25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25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25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25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25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25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25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25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25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25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25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25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25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25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25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25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25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25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25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25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25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25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25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25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25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25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25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25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25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25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25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25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25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25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25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25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25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25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25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25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25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25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25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25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25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25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25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25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25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25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25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25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25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25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25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25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25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25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25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25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25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25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25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25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25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25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25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25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25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25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25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25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25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25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25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25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25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25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25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25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25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25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25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25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25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25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25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25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25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25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25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25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25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25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25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25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25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25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25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25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25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25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25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25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25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25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25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25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25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25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25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25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25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25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25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25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25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25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25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25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25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25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25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25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25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25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25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25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25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25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25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25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25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25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25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25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25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25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25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25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25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25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25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25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25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25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25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25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25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25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25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25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25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25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25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25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25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25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25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25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25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25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25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25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25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25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25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25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25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25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25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25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25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25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25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25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25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25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25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25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25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25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25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25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25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25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25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25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25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25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25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25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25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25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25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25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25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25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25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25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25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25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25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25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25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25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25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25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25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25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25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25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25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25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25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25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25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25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25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25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25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25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25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25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25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25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25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25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25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25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25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25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25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25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25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25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25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25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25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25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25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25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25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25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25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25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25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25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25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25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25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25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25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25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25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25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25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25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25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25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25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25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25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25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25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25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25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25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25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25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25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25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25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25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25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25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25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25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25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25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25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25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25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25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25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25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25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25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25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25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25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25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25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25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25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25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25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25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25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25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25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25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25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25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25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25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25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25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25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25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25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25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25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25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25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25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25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25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25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25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25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25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25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25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25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25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25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25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25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25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25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25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25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25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25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25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25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25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25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25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25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25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25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  <row r="420" spans="1:12" x14ac:dyDescent="0.25">
      <c r="A420">
        <v>1310</v>
      </c>
      <c r="B420">
        <v>0</v>
      </c>
      <c r="C420">
        <v>3</v>
      </c>
      <c r="D420" t="s">
        <v>609</v>
      </c>
      <c r="E420" t="s">
        <v>16</v>
      </c>
      <c r="F420">
        <v>26</v>
      </c>
      <c r="G420">
        <v>1</v>
      </c>
      <c r="H420">
        <v>0</v>
      </c>
      <c r="I420">
        <v>26875</v>
      </c>
      <c r="J420">
        <v>222.5</v>
      </c>
      <c r="L42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O13" sqref="O13"/>
    </sheetView>
  </sheetViews>
  <sheetFormatPr defaultRowHeight="15" x14ac:dyDescent="0.25"/>
  <cols>
    <col min="14" max="14" width="16.140625" bestFit="1" customWidth="1"/>
    <col min="15" max="15" width="31.42578125" bestFit="1" customWidth="1"/>
  </cols>
  <sheetData>
    <row r="1" spans="1:17" x14ac:dyDescent="0.25">
      <c r="A1" t="s">
        <v>610</v>
      </c>
      <c r="B1" t="s">
        <v>611</v>
      </c>
      <c r="C1" t="s">
        <v>3</v>
      </c>
    </row>
    <row r="3" spans="1:17" x14ac:dyDescent="0.25">
      <c r="O3" t="s">
        <v>624</v>
      </c>
    </row>
    <row r="4" spans="1:17" x14ac:dyDescent="0.25">
      <c r="O4" t="s">
        <v>625</v>
      </c>
      <c r="P4">
        <f>COUNT(A:A)</f>
        <v>0</v>
      </c>
    </row>
    <row r="5" spans="1:17" x14ac:dyDescent="0.25">
      <c r="A5" t="s">
        <v>613</v>
      </c>
      <c r="B5" t="s">
        <v>612</v>
      </c>
    </row>
    <row r="6" spans="1:17" x14ac:dyDescent="0.25">
      <c r="A6" t="s">
        <v>614</v>
      </c>
      <c r="B6" t="s">
        <v>615</v>
      </c>
    </row>
    <row r="7" spans="1:17" x14ac:dyDescent="0.25">
      <c r="O7" t="s">
        <v>614</v>
      </c>
    </row>
    <row r="8" spans="1:17" x14ac:dyDescent="0.25">
      <c r="O8" t="s">
        <v>1</v>
      </c>
      <c r="P8">
        <f>COUNTIF(B:B,1)</f>
        <v>0</v>
      </c>
      <c r="Q8" s="1" t="e">
        <f>P8/P4</f>
        <v>#DIV/0!</v>
      </c>
    </row>
    <row r="9" spans="1:17" x14ac:dyDescent="0.25">
      <c r="O9" t="s">
        <v>626</v>
      </c>
      <c r="P9">
        <f>COUNTIF(B:B,0)</f>
        <v>0</v>
      </c>
      <c r="Q9" s="1" t="e">
        <f>P9/P4</f>
        <v>#DIV/0!</v>
      </c>
    </row>
    <row r="13" spans="1:17" x14ac:dyDescent="0.25">
      <c r="N13" t="s">
        <v>616</v>
      </c>
      <c r="O13" t="s">
        <v>627</v>
      </c>
      <c r="Q13" t="s">
        <v>621</v>
      </c>
    </row>
    <row r="14" spans="1:17" x14ac:dyDescent="0.25">
      <c r="N14" t="s">
        <v>617</v>
      </c>
      <c r="O14" t="s">
        <v>622</v>
      </c>
    </row>
    <row r="15" spans="1:17" x14ac:dyDescent="0.25">
      <c r="N15" t="s">
        <v>618</v>
      </c>
      <c r="O15" t="s">
        <v>623</v>
      </c>
    </row>
    <row r="16" spans="1:17" x14ac:dyDescent="0.25">
      <c r="N16" t="s">
        <v>614</v>
      </c>
      <c r="O16" t="s">
        <v>619</v>
      </c>
    </row>
    <row r="17" spans="15:15" x14ac:dyDescent="0.25">
      <c r="O17" t="s">
        <v>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tested</vt:lpstr>
      <vt:lpstr>Analysis Statement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S△MEER</dc:creator>
  <cp:lastModifiedBy>hp 840</cp:lastModifiedBy>
  <dcterms:created xsi:type="dcterms:W3CDTF">2026-01-03T10:24:12Z</dcterms:created>
  <dcterms:modified xsi:type="dcterms:W3CDTF">2026-01-03T14:12:30Z</dcterms:modified>
</cp:coreProperties>
</file>